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.tsang/Dropbox/Teaching/CompPhysB/CW-2 Marking/2025/DT/"/>
    </mc:Choice>
  </mc:AlternateContent>
  <xr:revisionPtr revIDLastSave="0" documentId="13_ncr:1_{446072C0-3317-9D42-BE64-11520B87B82D}" xr6:coauthVersionLast="47" xr6:coauthVersionMax="47" xr10:uidLastSave="{00000000-0000-0000-0000-000000000000}"/>
  <bookViews>
    <workbookView xWindow="0" yWindow="500" windowWidth="42940" windowHeight="26280" xr2:uid="{7E91E707-1852-493F-92E2-D977C932FD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1" i="1" l="1"/>
  <c r="D51" i="1"/>
  <c r="C51" i="1"/>
  <c r="B51" i="1"/>
  <c r="B54" i="1"/>
</calcChain>
</file>

<file path=xl/sharedStrings.xml><?xml version="1.0" encoding="utf-8"?>
<sst xmlns="http://schemas.openxmlformats.org/spreadsheetml/2006/main" count="120" uniqueCount="118">
  <si>
    <t>Comp Phys B report marking scheme</t>
  </si>
  <si>
    <t>Marks will be allocated in the four categories shown below.</t>
  </si>
  <si>
    <t>Presentation</t>
  </si>
  <si>
    <t>(25 marks)</t>
  </si>
  <si>
    <t>Background and context</t>
  </si>
  <si>
    <t>(10 marks)</t>
  </si>
  <si>
    <t>Achievement</t>
  </si>
  <si>
    <t>(35 marks)</t>
  </si>
  <si>
    <t>Analysis and scientific understanding</t>
  </si>
  <si>
    <t>(30 marks)</t>
  </si>
  <si>
    <t>Comments</t>
  </si>
  <si>
    <t>80%+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</si>
  <si>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Negligible spelling, punctuation and grammatical errors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</si>
  <si>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Excellent presentation, layout and formatting; coherent and logical structure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</si>
  <si>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Creative use of well designed and relevant figures and/or tables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</si>
  <si>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 xml:space="preserve">Perfect formatting of figures and/or tables, equations and references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</si>
  <si>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Excellent linkage of the text with figures, tables and equations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</si>
  <si>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Excellent description of the project’s objectives, its context and any applications of the work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</si>
  <si>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Excellent quality and quantity of results, presented clearly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</si>
  <si>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Evidence of creativity, innovation and initiative, as well as industriousness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</si>
  <si>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Insightful critical assessment, with</t>
    </r>
    <r>
      <rPr>
        <sz val="10"/>
        <color theme="1"/>
        <rFont val="Times New Roman"/>
        <family val="1"/>
      </rPr>
      <t xml:space="preserve"> an excellent discussion of the advantages and limitations of the techniques used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</si>
  <si>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Errors and uncertainties treated and discussed entirely rigorously and appropriately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</si>
  <si>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Clear, justifiable and complete conclusions, with suggestions for the future development of the project</t>
    </r>
  </si>
  <si>
    <t>70-79%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</si>
  <si>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Very good writing style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</si>
  <si>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Nearly all descriptions and explanations are succinct, clear and precise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</si>
  <si>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 xml:space="preserve">Very good formatting of figures and/or tables, equations and references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</si>
  <si>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Very good description of physical background to the project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</si>
  <si>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Student achieved more than would normally be expected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</si>
  <si>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 xml:space="preserve">Evidence in report of very strong computational skills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</si>
  <si>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Strong critical assessment, with</t>
    </r>
    <r>
      <rPr>
        <sz val="10"/>
        <color theme="1"/>
        <rFont val="Times New Roman"/>
        <family val="1"/>
      </rPr>
      <t xml:space="preserve"> a very good discussion of the advantages and limitations of the techniques used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</si>
  <si>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Very good treatment and discussion of errors and uncertainties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</si>
  <si>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A few spelling, punctuation and grammatical errors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</si>
  <si>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Good writing style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</si>
  <si>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Most descriptions and explanations are succinct, clear and precise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</si>
  <si>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Good presentation, layout and formatting; coherent and logical structure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</si>
  <si>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Generally well designed and relevant figures and/or tables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</si>
  <si>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Text mostly links well with figures, tables and equations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</si>
  <si>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Good description of the project’s aims &amp; objectives, its context and any applications of the work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</si>
  <si>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Good description of physical background to the project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</si>
  <si>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Student achieved as much as would normally be expected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</si>
  <si>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 xml:space="preserve">Evidence of good computational skills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</si>
  <si>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Good quality and quantity of results, presented clearly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</si>
  <si>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C</t>
    </r>
    <r>
      <rPr>
        <sz val="10"/>
        <color theme="1"/>
        <rFont val="Times New Roman"/>
        <family val="1"/>
      </rPr>
      <t xml:space="preserve">lear discussion of the advantages and limitations of the techniques used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</si>
  <si>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Good analysis of the results, including comparisons with relevant theoretical or experimental results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</si>
  <si>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Clear and justifiable conclusions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</si>
  <si>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Satisfactory spelling, punctuation and grammar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</si>
  <si>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Reasonably good writing style, but with some lapses into colloquialisms, inappropriate tense, mixture of writing styles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</si>
  <si>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 xml:space="preserve">Some descriptions and explanations are succinct, clear and precise, but some confusing/confused passages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</si>
  <si>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Satisfactory presentation, layout and formatting; structure mainly coherent and logical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</si>
  <si>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 xml:space="preserve">Satisfactory formatting of figures and/or tables, equations and references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</si>
  <si>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Satisfactory linkage of the text with figures, tables and equations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</si>
  <si>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Reasonable</t>
    </r>
    <r>
      <rPr>
        <sz val="10"/>
        <color theme="1"/>
        <rFont val="Times New Roman"/>
        <family val="1"/>
      </rPr>
      <t xml:space="preserve"> description of the project’s objectives, its context and any applications of the work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</si>
  <si>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Reasonable</t>
    </r>
    <r>
      <rPr>
        <sz val="10"/>
        <color theme="1"/>
        <rFont val="Times New Roman"/>
        <family val="1"/>
      </rPr>
      <t xml:space="preserve"> description of physical background to the project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</si>
  <si>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Student hasn’t achieved quite as much as would normally be expected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</si>
  <si>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 xml:space="preserve">Evidence in report of reasonable computational skills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</si>
  <si>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Satisfactory quality and quantity of results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</si>
  <si>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Reasonable</t>
    </r>
    <r>
      <rPr>
        <sz val="10"/>
        <color theme="1"/>
        <rFont val="Times New Roman"/>
        <family val="1"/>
      </rPr>
      <t xml:space="preserve"> discussion of the advantages and limitations of the techniques used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</si>
  <si>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Satisfactory analysis of the results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</si>
  <si>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Errors and uncertainties treated and discussed reasonably well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</si>
  <si>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Conclusions reasonably clear and justifiable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</si>
  <si>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Numerous misspellings, punctuation or grammatical errors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</si>
  <si>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Clumsy or inappropriate writing style, often lapsing into colloquialisms, inappropriate tense, mixture of writing styles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</si>
  <si>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Sloppy and confusing descriptions and explanations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</si>
  <si>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Passable presentation, layout and formatting; structure sometimes incoherent and confused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</si>
  <si>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Formatting of figures and/or tables, equations and references sometimes incorrect or incomplete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</si>
  <si>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Text links poorly with figures, tables and equations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</si>
  <si>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Poor description of the project’s objectives, its context and any applications of the work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</si>
  <si>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Poor description of physical background to the project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</si>
  <si>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Student hasn’t achieved as much as would normally be expected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</si>
  <si>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 xml:space="preserve">Weak computational skills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</si>
  <si>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Poor quality and quantity of results, or results presented poorly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</si>
  <si>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 xml:space="preserve">Little or no </t>
    </r>
    <r>
      <rPr>
        <sz val="10"/>
        <color theme="1"/>
        <rFont val="Times New Roman"/>
        <family val="1"/>
      </rPr>
      <t xml:space="preserve">discussion of the advantages and limitations of the techniques used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</si>
  <si>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Weak analysis of the results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</si>
  <si>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Treatment of errors and uncertainties weak or flawed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</si>
  <si>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Weak, unclear or unjustifiable conclusions</t>
    </r>
  </si>
  <si>
    <t>&lt;40%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</si>
  <si>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Riddled with spelling, punctuation or grammatical errors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</si>
  <si>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Totally incoherent writing style, largely incomprehensible descriptions and explanations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</si>
  <si>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Shoddy layout, presentation and formatting; incoherent structure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</si>
  <si>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 xml:space="preserve">Missing or incorrect formatting of figures and/or tables, equations and references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</si>
  <si>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Very poor or missing linkage of the text with figures, tables and equations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</si>
  <si>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Very weak description of the project’s objectives, its context and any applications of the work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</si>
  <si>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Very weak description of physical background to the project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</si>
  <si>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Student achieved very little throughout project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</si>
  <si>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 xml:space="preserve">Very weak computational skills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</si>
  <si>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Very poor quality and quantity of results, or results presented very poorly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</si>
  <si>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Very weak analysis of the results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</si>
  <si>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Treatment of errors and uncertainties weak, flawed or missing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</si>
  <si>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0"/>
        <color theme="1"/>
        <rFont val="Times New Roman"/>
        <family val="1"/>
      </rPr>
      <t>Very weak or missing conclusions</t>
    </r>
  </si>
  <si>
    <t>Mark</t>
  </si>
  <si>
    <t>out of 25</t>
  </si>
  <si>
    <t>out of 10</t>
  </si>
  <si>
    <t>out of 35</t>
  </si>
  <si>
    <t>out of 30</t>
  </si>
  <si>
    <r>
      <t>Total report mark out of 100:</t>
    </r>
    <r>
      <rPr>
        <sz val="12"/>
        <color theme="1"/>
        <rFont val="Times New Roman"/>
        <family val="1"/>
      </rPr>
      <t xml:space="preserve"> </t>
    </r>
  </si>
  <si>
    <t xml:space="preserve">Further comments: </t>
  </si>
  <si>
    <t>60-69%</t>
  </si>
  <si>
    <t>50-59%</t>
  </si>
  <si>
    <t>40-49%</t>
  </si>
  <si>
    <t>%</t>
  </si>
  <si>
    <r>
      <t>Ø</t>
    </r>
    <r>
      <rPr>
        <b/>
        <sz val="7"/>
        <color theme="1"/>
        <rFont val="Times New Roman"/>
        <family val="1"/>
      </rPr>
      <t xml:space="preserve">  </t>
    </r>
    <r>
      <rPr>
        <b/>
        <sz val="10"/>
        <color theme="1"/>
        <rFont val="Times New Roman"/>
        <family val="1"/>
      </rPr>
      <t>Very few spelling, punctuation and grammatical errors</t>
    </r>
  </si>
  <si>
    <r>
      <t>Ø</t>
    </r>
    <r>
      <rPr>
        <b/>
        <sz val="7"/>
        <color theme="1"/>
        <rFont val="Times New Roman"/>
        <family val="1"/>
      </rPr>
      <t xml:space="preserve">  </t>
    </r>
    <r>
      <rPr>
        <b/>
        <sz val="10"/>
        <color theme="1"/>
        <rFont val="Times New Roman"/>
        <family val="1"/>
      </rPr>
      <t>Exemplary writing style; lively and articulate writing, showing excellent command of technical terminology and strong arguments</t>
    </r>
  </si>
  <si>
    <r>
      <t>Ø</t>
    </r>
    <r>
      <rPr>
        <b/>
        <sz val="7"/>
        <color theme="1"/>
        <rFont val="Times New Roman"/>
        <family val="1"/>
      </rPr>
      <t xml:space="preserve">  </t>
    </r>
    <r>
      <rPr>
        <b/>
        <sz val="10"/>
        <color theme="1"/>
        <rFont val="Times New Roman"/>
        <family val="1"/>
      </rPr>
      <t xml:space="preserve">Entirely succinct, clear and precise descriptions and explanations </t>
    </r>
  </si>
  <si>
    <r>
      <t>Ø</t>
    </r>
    <r>
      <rPr>
        <b/>
        <sz val="7"/>
        <color theme="1"/>
        <rFont val="Times New Roman"/>
        <family val="1"/>
      </rPr>
      <t xml:space="preserve">  </t>
    </r>
    <r>
      <rPr>
        <b/>
        <sz val="10"/>
        <color theme="1"/>
        <rFont val="Times New Roman"/>
        <family val="1"/>
      </rPr>
      <t>Very good presentation, layout and formatting; coherent and logical structure</t>
    </r>
  </si>
  <si>
    <r>
      <t>Ø</t>
    </r>
    <r>
      <rPr>
        <b/>
        <sz val="7"/>
        <color theme="1"/>
        <rFont val="Times New Roman"/>
        <family val="1"/>
      </rPr>
      <t xml:space="preserve">  </t>
    </r>
    <r>
      <rPr>
        <b/>
        <sz val="10"/>
        <color theme="1"/>
        <rFont val="Times New Roman"/>
        <family val="1"/>
      </rPr>
      <t xml:space="preserve">Good formatting of figures and/or tables, equations and references </t>
    </r>
  </si>
  <si>
    <r>
      <t>Ø</t>
    </r>
    <r>
      <rPr>
        <b/>
        <sz val="7"/>
        <color theme="1"/>
        <rFont val="Times New Roman"/>
        <family val="1"/>
      </rPr>
      <t xml:space="preserve">  </t>
    </r>
    <r>
      <rPr>
        <b/>
        <sz val="10"/>
        <color theme="1"/>
        <rFont val="Times New Roman"/>
        <family val="1"/>
      </rPr>
      <t>Well designed and relevant figures and/or tables</t>
    </r>
  </si>
  <si>
    <r>
      <t>Ø</t>
    </r>
    <r>
      <rPr>
        <b/>
        <sz val="7"/>
        <color theme="1"/>
        <rFont val="Times New Roman"/>
        <family val="1"/>
      </rPr>
      <t xml:space="preserve">  </t>
    </r>
    <r>
      <rPr>
        <b/>
        <sz val="10"/>
        <color theme="1"/>
        <rFont val="Times New Roman"/>
        <family val="1"/>
      </rPr>
      <t>Text links well with figures, tables and equations</t>
    </r>
  </si>
  <si>
    <r>
      <t>Ø</t>
    </r>
    <r>
      <rPr>
        <b/>
        <sz val="7"/>
        <color theme="1"/>
        <rFont val="Times New Roman"/>
        <family val="1"/>
      </rPr>
      <t xml:space="preserve">  </t>
    </r>
    <r>
      <rPr>
        <b/>
        <sz val="10"/>
        <color theme="1"/>
        <rFont val="Times New Roman"/>
        <family val="1"/>
      </rPr>
      <t>Excellent description of physical background to the project, at a level exactly appropriate for the audience</t>
    </r>
  </si>
  <si>
    <r>
      <t>Ø</t>
    </r>
    <r>
      <rPr>
        <b/>
        <sz val="7"/>
        <color theme="1"/>
        <rFont val="Times New Roman"/>
        <family val="1"/>
      </rPr>
      <t xml:space="preserve">  </t>
    </r>
    <r>
      <rPr>
        <b/>
        <sz val="10"/>
        <color theme="1"/>
        <rFont val="Times New Roman"/>
        <family val="1"/>
      </rPr>
      <t>Very good description of the project’s objectives, its context and any applications of the work</t>
    </r>
  </si>
  <si>
    <r>
      <t>Ø</t>
    </r>
    <r>
      <rPr>
        <b/>
        <sz val="7"/>
        <color theme="1"/>
        <rFont val="Times New Roman"/>
        <family val="1"/>
      </rPr>
      <t xml:space="preserve">  </t>
    </r>
    <r>
      <rPr>
        <b/>
        <sz val="10"/>
        <color theme="1"/>
        <rFont val="Times New Roman"/>
        <family val="1"/>
      </rPr>
      <t>Student achieved much more than would normally be expected</t>
    </r>
  </si>
  <si>
    <r>
      <t>Ø</t>
    </r>
    <r>
      <rPr>
        <b/>
        <sz val="7"/>
        <color theme="1"/>
        <rFont val="Times New Roman"/>
        <family val="1"/>
      </rPr>
      <t xml:space="preserve">  </t>
    </r>
    <r>
      <rPr>
        <b/>
        <sz val="10"/>
        <color theme="1"/>
        <rFont val="Times New Roman"/>
        <family val="1"/>
      </rPr>
      <t xml:space="preserve">Evidence in report of excellent computational skills </t>
    </r>
  </si>
  <si>
    <r>
      <t>Ø</t>
    </r>
    <r>
      <rPr>
        <b/>
        <sz val="7"/>
        <color theme="1"/>
        <rFont val="Times New Roman"/>
        <family val="1"/>
      </rPr>
      <t xml:space="preserve">  </t>
    </r>
    <r>
      <rPr>
        <b/>
        <sz val="10"/>
        <color theme="1"/>
        <rFont val="Times New Roman"/>
        <family val="1"/>
      </rPr>
      <t>Very good quality and quantity of results, presented clearly</t>
    </r>
  </si>
  <si>
    <r>
      <t>Ø</t>
    </r>
    <r>
      <rPr>
        <b/>
        <sz val="7"/>
        <color theme="1"/>
        <rFont val="Times New Roman"/>
        <family val="1"/>
      </rPr>
      <t xml:space="preserve">  </t>
    </r>
    <r>
      <rPr>
        <b/>
        <sz val="10"/>
        <color theme="1"/>
        <rFont val="Times New Roman"/>
        <family val="1"/>
      </rPr>
      <t>Evidence of some creativity, innovation and initiative, as well as industriousness</t>
    </r>
  </si>
  <si>
    <r>
      <t>Ø</t>
    </r>
    <r>
      <rPr>
        <b/>
        <sz val="7"/>
        <color theme="1"/>
        <rFont val="Times New Roman"/>
        <family val="1"/>
      </rPr>
      <t xml:space="preserve">  </t>
    </r>
    <r>
      <rPr>
        <b/>
        <sz val="10"/>
        <color theme="1"/>
        <rFont val="Times New Roman"/>
        <family val="1"/>
      </rPr>
      <t>Excellent analysis of the results, including comparisons with relevant theoretical or experimental results</t>
    </r>
  </si>
  <si>
    <r>
      <t>Ø</t>
    </r>
    <r>
      <rPr>
        <b/>
        <sz val="7"/>
        <color theme="1"/>
        <rFont val="Times New Roman"/>
        <family val="1"/>
      </rPr>
      <t xml:space="preserve">  </t>
    </r>
    <r>
      <rPr>
        <b/>
        <sz val="10"/>
        <color theme="1"/>
        <rFont val="Times New Roman"/>
        <family val="1"/>
      </rPr>
      <t xml:space="preserve">Good treatment and discussion of errors and uncertainties </t>
    </r>
  </si>
  <si>
    <r>
      <t>Ø</t>
    </r>
    <r>
      <rPr>
        <b/>
        <sz val="7"/>
        <color theme="1"/>
        <rFont val="Times New Roman"/>
        <family val="1"/>
      </rPr>
      <t xml:space="preserve">  </t>
    </r>
    <r>
      <rPr>
        <b/>
        <sz val="10"/>
        <color theme="1"/>
        <rFont val="Times New Roman"/>
        <family val="1"/>
      </rPr>
      <t>Very good analysis of the results, including comparisons with relevant theoretical or experimental results</t>
    </r>
  </si>
  <si>
    <r>
      <t>Ø</t>
    </r>
    <r>
      <rPr>
        <b/>
        <sz val="7"/>
        <color theme="1"/>
        <rFont val="Times New Roman"/>
        <family val="1"/>
      </rPr>
      <t xml:space="preserve">  </t>
    </r>
    <r>
      <rPr>
        <b/>
        <sz val="10"/>
        <color theme="1"/>
        <rFont val="Times New Roman"/>
        <family val="1"/>
      </rPr>
      <t>Clear, justifiable and complete conclusions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</si>
</sst>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Wingdings"/>
      <charset val="2"/>
    </font>
    <font>
      <sz val="7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Wingdings"/>
      <charset val="2"/>
    </font>
    <font>
      <sz val="7"/>
      <color rgb="FF000000"/>
      <name val="Times New Roman"/>
      <family val="1"/>
    </font>
    <font>
      <sz val="8"/>
      <color theme="1"/>
      <name val="Times New Roman"/>
      <family val="1"/>
    </font>
    <font>
      <b/>
      <sz val="10"/>
      <color theme="1"/>
      <name val="Wingdings"/>
      <charset val="2"/>
    </font>
    <font>
      <b/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 wrapText="1" indent="2"/>
    </xf>
    <xf numFmtId="0" fontId="6" fillId="0" borderId="4" xfId="0" applyFont="1" applyBorder="1" applyAlignment="1">
      <alignment horizontal="left" vertical="center" wrapText="1" indent="2"/>
    </xf>
    <xf numFmtId="0" fontId="0" fillId="0" borderId="6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4" fillId="0" borderId="6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9" fontId="4" fillId="0" borderId="5" xfId="0" applyNumberFormat="1" applyFont="1" applyBorder="1" applyAlignment="1">
      <alignment vertical="center" wrapText="1"/>
    </xf>
    <xf numFmtId="0" fontId="0" fillId="0" borderId="5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9" fillId="0" borderId="6" xfId="0" applyFont="1" applyBorder="1" applyAlignment="1">
      <alignment horizontal="left" vertical="center" wrapText="1" indent="2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16" xfId="0" applyFont="1" applyBorder="1" applyAlignment="1">
      <alignment vertical="center" wrapText="1"/>
    </xf>
    <xf numFmtId="0" fontId="3" fillId="0" borderId="17" xfId="0" applyFont="1" applyBorder="1" applyAlignment="1">
      <alignment horizontal="right" vertical="center" wrapText="1"/>
    </xf>
    <xf numFmtId="0" fontId="3" fillId="0" borderId="17" xfId="0" applyFont="1" applyBorder="1"/>
    <xf numFmtId="0" fontId="3" fillId="0" borderId="18" xfId="0" applyFont="1" applyBorder="1"/>
    <xf numFmtId="0" fontId="2" fillId="0" borderId="19" xfId="0" applyFont="1" applyBorder="1" applyAlignment="1">
      <alignment vertical="center"/>
    </xf>
    <xf numFmtId="0" fontId="2" fillId="0" borderId="7" xfId="0" applyFont="1" applyBorder="1" applyAlignment="1">
      <alignment horizontal="right" vertical="center" wrapText="1"/>
    </xf>
    <xf numFmtId="0" fontId="2" fillId="0" borderId="20" xfId="0" applyFont="1" applyBorder="1" applyAlignment="1">
      <alignment horizontal="right" vertical="center" wrapText="1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3" fillId="0" borderId="8" xfId="0" applyFon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 indent="2"/>
    </xf>
    <xf numFmtId="0" fontId="8" fillId="0" borderId="5" xfId="0" applyFont="1" applyBorder="1" applyAlignment="1">
      <alignment horizontal="left" vertical="center" wrapText="1" indent="2"/>
    </xf>
    <xf numFmtId="0" fontId="8" fillId="0" borderId="2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left" vertical="center" wrapText="1" indent="2"/>
    </xf>
    <xf numFmtId="0" fontId="4" fillId="0" borderId="2" xfId="0" applyFont="1" applyBorder="1" applyAlignment="1">
      <alignment horizontal="left" vertical="center" wrapText="1" indent="2"/>
    </xf>
    <xf numFmtId="0" fontId="11" fillId="0" borderId="1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  <xf numFmtId="0" fontId="12" fillId="0" borderId="6" xfId="0" applyFont="1" applyBorder="1" applyAlignment="1">
      <alignment horizontal="left" vertical="center" wrapText="1" indent="2"/>
    </xf>
    <xf numFmtId="0" fontId="12" fillId="0" borderId="4" xfId="0" applyFont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CDCC3-8C7F-4A6E-849F-A3E22F2B0099}">
  <dimension ref="A1:F64"/>
  <sheetViews>
    <sheetView tabSelected="1" topLeftCell="B41" zoomScale="214" zoomScaleNormal="214" workbookViewId="0">
      <selection activeCell="C53" sqref="C53"/>
    </sheetView>
  </sheetViews>
  <sheetFormatPr baseColWidth="10" defaultColWidth="8.83203125" defaultRowHeight="15" x14ac:dyDescent="0.2"/>
  <cols>
    <col min="1" max="1" width="36.1640625" customWidth="1"/>
    <col min="2" max="2" width="52" customWidth="1"/>
    <col min="3" max="3" width="36.5" customWidth="1"/>
    <col min="4" max="4" width="30.33203125" customWidth="1"/>
    <col min="5" max="5" width="43.83203125" customWidth="1"/>
    <col min="6" max="6" width="26.6640625" customWidth="1"/>
  </cols>
  <sheetData>
    <row r="1" spans="1:6" ht="49" customHeight="1" x14ac:dyDescent="0.2">
      <c r="A1" s="1" t="s">
        <v>0</v>
      </c>
    </row>
    <row r="2" spans="1:6" ht="45.5" customHeight="1" x14ac:dyDescent="0.2">
      <c r="A2" s="2" t="s">
        <v>1</v>
      </c>
    </row>
    <row r="3" spans="1:6" ht="16" thickBot="1" x14ac:dyDescent="0.25">
      <c r="A3" s="3"/>
    </row>
    <row r="4" spans="1:6" x14ac:dyDescent="0.2">
      <c r="A4" s="38"/>
      <c r="B4" s="4" t="s">
        <v>2</v>
      </c>
      <c r="C4" s="4" t="s">
        <v>4</v>
      </c>
      <c r="D4" s="4" t="s">
        <v>6</v>
      </c>
      <c r="E4" s="4" t="s">
        <v>8</v>
      </c>
      <c r="F4" s="38" t="s">
        <v>10</v>
      </c>
    </row>
    <row r="5" spans="1:6" ht="16" thickBot="1" x14ac:dyDescent="0.25">
      <c r="A5" s="39"/>
      <c r="B5" s="5" t="s">
        <v>3</v>
      </c>
      <c r="C5" s="5" t="s">
        <v>5</v>
      </c>
      <c r="D5" s="5" t="s">
        <v>7</v>
      </c>
      <c r="E5" s="5" t="s">
        <v>9</v>
      </c>
      <c r="F5" s="39"/>
    </row>
    <row r="6" spans="1:6" ht="25" customHeight="1" x14ac:dyDescent="0.2">
      <c r="A6" s="40" t="s">
        <v>11</v>
      </c>
      <c r="B6" s="7" t="s">
        <v>12</v>
      </c>
      <c r="C6" s="7" t="s">
        <v>17</v>
      </c>
      <c r="D6" s="56" t="s">
        <v>110</v>
      </c>
      <c r="E6" s="7" t="s">
        <v>20</v>
      </c>
      <c r="F6" s="43"/>
    </row>
    <row r="7" spans="1:6" ht="37.5" customHeight="1" x14ac:dyDescent="0.2">
      <c r="A7" s="41"/>
      <c r="B7" s="56" t="s">
        <v>102</v>
      </c>
      <c r="C7" s="56" t="s">
        <v>108</v>
      </c>
      <c r="D7" s="56" t="s">
        <v>111</v>
      </c>
      <c r="E7" s="56" t="s">
        <v>114</v>
      </c>
      <c r="F7" s="44"/>
    </row>
    <row r="8" spans="1:6" ht="25" customHeight="1" x14ac:dyDescent="0.2">
      <c r="A8" s="41"/>
      <c r="B8" s="56" t="s">
        <v>103</v>
      </c>
      <c r="C8" s="9"/>
      <c r="D8" s="7" t="s">
        <v>18</v>
      </c>
      <c r="E8" s="7" t="s">
        <v>21</v>
      </c>
      <c r="F8" s="44"/>
    </row>
    <row r="9" spans="1:6" ht="25" customHeight="1" x14ac:dyDescent="0.2">
      <c r="A9" s="41"/>
      <c r="B9" s="7" t="s">
        <v>13</v>
      </c>
      <c r="C9" s="9"/>
      <c r="D9" s="7" t="s">
        <v>19</v>
      </c>
      <c r="E9" s="7" t="s">
        <v>22</v>
      </c>
      <c r="F9" s="44"/>
    </row>
    <row r="10" spans="1:6" ht="25.5" customHeight="1" x14ac:dyDescent="0.2">
      <c r="A10" s="41"/>
      <c r="B10" s="7" t="s">
        <v>14</v>
      </c>
      <c r="C10" s="9"/>
      <c r="D10" s="9"/>
      <c r="E10" s="9"/>
      <c r="F10" s="44"/>
    </row>
    <row r="11" spans="1:6" ht="25.5" customHeight="1" x14ac:dyDescent="0.2">
      <c r="A11" s="41"/>
      <c r="B11" s="7" t="s">
        <v>15</v>
      </c>
      <c r="C11" s="9"/>
      <c r="D11" s="9"/>
      <c r="E11" s="9"/>
      <c r="F11" s="44"/>
    </row>
    <row r="12" spans="1:6" ht="20.5" customHeight="1" thickBot="1" x14ac:dyDescent="0.25">
      <c r="A12" s="42"/>
      <c r="B12" s="8" t="s">
        <v>16</v>
      </c>
      <c r="C12" s="10"/>
      <c r="D12" s="10"/>
      <c r="E12" s="10"/>
      <c r="F12" s="45"/>
    </row>
    <row r="13" spans="1:6" ht="38" customHeight="1" x14ac:dyDescent="0.2">
      <c r="A13" s="40" t="s">
        <v>23</v>
      </c>
      <c r="B13" s="56" t="s">
        <v>101</v>
      </c>
      <c r="C13" s="56" t="s">
        <v>109</v>
      </c>
      <c r="D13" s="7" t="s">
        <v>28</v>
      </c>
      <c r="E13" s="7" t="s">
        <v>30</v>
      </c>
      <c r="F13" s="43"/>
    </row>
    <row r="14" spans="1:6" ht="37.5" customHeight="1" x14ac:dyDescent="0.2">
      <c r="A14" s="41"/>
      <c r="B14" s="7" t="s">
        <v>24</v>
      </c>
      <c r="C14" s="7" t="s">
        <v>27</v>
      </c>
      <c r="D14" s="7" t="s">
        <v>29</v>
      </c>
      <c r="E14" s="56" t="s">
        <v>116</v>
      </c>
      <c r="F14" s="44"/>
    </row>
    <row r="15" spans="1:6" ht="25" customHeight="1" x14ac:dyDescent="0.2">
      <c r="A15" s="41"/>
      <c r="B15" s="7" t="s">
        <v>25</v>
      </c>
      <c r="C15" s="9"/>
      <c r="D15" s="56" t="s">
        <v>112</v>
      </c>
      <c r="E15" s="7" t="s">
        <v>31</v>
      </c>
      <c r="F15" s="44"/>
    </row>
    <row r="16" spans="1:6" ht="37.5" customHeight="1" x14ac:dyDescent="0.2">
      <c r="A16" s="41"/>
      <c r="B16" s="56" t="s">
        <v>104</v>
      </c>
      <c r="C16" s="9"/>
      <c r="D16" s="56" t="s">
        <v>113</v>
      </c>
      <c r="E16" s="56" t="s">
        <v>117</v>
      </c>
      <c r="F16" s="44"/>
    </row>
    <row r="17" spans="1:6" ht="13.5" customHeight="1" x14ac:dyDescent="0.2">
      <c r="A17" s="41"/>
      <c r="B17" s="56" t="s">
        <v>106</v>
      </c>
      <c r="C17" s="9"/>
      <c r="D17" s="9"/>
      <c r="E17" s="11"/>
      <c r="F17" s="44"/>
    </row>
    <row r="18" spans="1:6" ht="25" customHeight="1" x14ac:dyDescent="0.2">
      <c r="A18" s="41"/>
      <c r="B18" s="7" t="s">
        <v>26</v>
      </c>
      <c r="C18" s="9"/>
      <c r="D18" s="9"/>
      <c r="E18" s="11"/>
      <c r="F18" s="44"/>
    </row>
    <row r="19" spans="1:6" ht="12.5" customHeight="1" thickBot="1" x14ac:dyDescent="0.25">
      <c r="A19" s="42"/>
      <c r="B19" s="57" t="s">
        <v>107</v>
      </c>
      <c r="C19" s="10"/>
      <c r="D19" s="10"/>
      <c r="E19" s="12"/>
      <c r="F19" s="45"/>
    </row>
    <row r="20" spans="1:6" ht="40" customHeight="1" x14ac:dyDescent="0.2">
      <c r="A20" s="6" t="s">
        <v>97</v>
      </c>
      <c r="B20" s="7" t="s">
        <v>32</v>
      </c>
      <c r="C20" s="7" t="s">
        <v>38</v>
      </c>
      <c r="D20" s="7" t="s">
        <v>40</v>
      </c>
      <c r="E20" s="7" t="s">
        <v>43</v>
      </c>
      <c r="F20" s="43"/>
    </row>
    <row r="21" spans="1:6" ht="25.5" customHeight="1" x14ac:dyDescent="0.2">
      <c r="A21" s="13"/>
      <c r="B21" s="7" t="s">
        <v>33</v>
      </c>
      <c r="C21" s="7" t="s">
        <v>39</v>
      </c>
      <c r="D21" s="7" t="s">
        <v>41</v>
      </c>
      <c r="E21" s="7" t="s">
        <v>44</v>
      </c>
      <c r="F21" s="44"/>
    </row>
    <row r="22" spans="1:6" ht="25.5" customHeight="1" x14ac:dyDescent="0.2">
      <c r="A22" s="14"/>
      <c r="B22" s="7" t="s">
        <v>34</v>
      </c>
      <c r="C22" s="9"/>
      <c r="D22" s="7" t="s">
        <v>42</v>
      </c>
      <c r="E22" s="56" t="s">
        <v>115</v>
      </c>
      <c r="F22" s="44"/>
    </row>
    <row r="23" spans="1:6" ht="25.5" customHeight="1" x14ac:dyDescent="0.2">
      <c r="A23" s="14"/>
      <c r="B23" s="7" t="s">
        <v>35</v>
      </c>
      <c r="C23" s="9"/>
      <c r="D23" s="9"/>
      <c r="E23" s="7" t="s">
        <v>45</v>
      </c>
      <c r="F23" s="44"/>
    </row>
    <row r="24" spans="1:6" ht="13" customHeight="1" x14ac:dyDescent="0.2">
      <c r="A24" s="14"/>
      <c r="B24" s="7" t="s">
        <v>36</v>
      </c>
      <c r="C24" s="9"/>
      <c r="D24" s="9"/>
      <c r="E24" s="9"/>
      <c r="F24" s="44"/>
    </row>
    <row r="25" spans="1:6" ht="25" customHeight="1" x14ac:dyDescent="0.2">
      <c r="A25" s="14"/>
      <c r="B25" s="56" t="s">
        <v>105</v>
      </c>
      <c r="C25" s="9"/>
      <c r="D25" s="9"/>
      <c r="E25" s="9"/>
      <c r="F25" s="44"/>
    </row>
    <row r="26" spans="1:6" ht="13" customHeight="1" thickBot="1" x14ac:dyDescent="0.25">
      <c r="A26" s="15"/>
      <c r="B26" s="8" t="s">
        <v>37</v>
      </c>
      <c r="C26" s="10"/>
      <c r="D26" s="10"/>
      <c r="E26" s="10"/>
      <c r="F26" s="45"/>
    </row>
    <row r="27" spans="1:6" ht="42" x14ac:dyDescent="0.2">
      <c r="A27" s="6" t="s">
        <v>98</v>
      </c>
      <c r="B27" s="7" t="s">
        <v>46</v>
      </c>
      <c r="C27" s="7" t="s">
        <v>52</v>
      </c>
      <c r="D27" s="7" t="s">
        <v>54</v>
      </c>
      <c r="E27" s="7" t="s">
        <v>57</v>
      </c>
      <c r="F27" s="49"/>
    </row>
    <row r="28" spans="1:6" ht="25.5" customHeight="1" x14ac:dyDescent="0.2">
      <c r="A28" s="13"/>
      <c r="B28" s="7" t="s">
        <v>47</v>
      </c>
      <c r="C28" s="7" t="s">
        <v>53</v>
      </c>
      <c r="D28" s="7" t="s">
        <v>55</v>
      </c>
      <c r="E28" s="7" t="s">
        <v>58</v>
      </c>
      <c r="F28" s="50"/>
    </row>
    <row r="29" spans="1:6" ht="25.5" customHeight="1" x14ac:dyDescent="0.2">
      <c r="A29" s="14"/>
      <c r="B29" s="7" t="s">
        <v>48</v>
      </c>
      <c r="C29" s="9"/>
      <c r="D29" s="7" t="s">
        <v>56</v>
      </c>
      <c r="E29" s="7" t="s">
        <v>59</v>
      </c>
      <c r="F29" s="50"/>
    </row>
    <row r="30" spans="1:6" ht="25" customHeight="1" x14ac:dyDescent="0.2">
      <c r="A30" s="14"/>
      <c r="B30" s="7" t="s">
        <v>49</v>
      </c>
      <c r="C30" s="9"/>
      <c r="D30" s="9"/>
      <c r="E30" s="16" t="s">
        <v>60</v>
      </c>
      <c r="F30" s="50"/>
    </row>
    <row r="31" spans="1:6" ht="25" customHeight="1" x14ac:dyDescent="0.2">
      <c r="A31" s="14"/>
      <c r="B31" s="7" t="s">
        <v>50</v>
      </c>
      <c r="C31" s="9"/>
      <c r="D31" s="9"/>
      <c r="E31" s="9"/>
      <c r="F31" s="50"/>
    </row>
    <row r="32" spans="1:6" ht="25.5" customHeight="1" thickBot="1" x14ac:dyDescent="0.25">
      <c r="A32" s="15"/>
      <c r="B32" s="8" t="s">
        <v>51</v>
      </c>
      <c r="C32" s="10"/>
      <c r="D32" s="10"/>
      <c r="E32" s="10"/>
      <c r="F32" s="51"/>
    </row>
    <row r="33" spans="1:6" ht="40" customHeight="1" x14ac:dyDescent="0.2">
      <c r="A33" s="6" t="s">
        <v>99</v>
      </c>
      <c r="B33" s="7" t="s">
        <v>61</v>
      </c>
      <c r="C33" s="7" t="s">
        <v>67</v>
      </c>
      <c r="D33" s="7" t="s">
        <v>69</v>
      </c>
      <c r="E33" s="7" t="s">
        <v>72</v>
      </c>
      <c r="F33" s="49"/>
    </row>
    <row r="34" spans="1:6" ht="28" x14ac:dyDescent="0.2">
      <c r="A34" s="13"/>
      <c r="B34" s="7" t="s">
        <v>62</v>
      </c>
      <c r="C34" s="7" t="s">
        <v>68</v>
      </c>
      <c r="D34" s="7" t="s">
        <v>70</v>
      </c>
      <c r="E34" s="7" t="s">
        <v>73</v>
      </c>
      <c r="F34" s="50"/>
    </row>
    <row r="35" spans="1:6" ht="24.5" customHeight="1" x14ac:dyDescent="0.2">
      <c r="A35" s="14"/>
      <c r="B35" s="7" t="s">
        <v>63</v>
      </c>
      <c r="C35" s="9"/>
      <c r="D35" s="7" t="s">
        <v>71</v>
      </c>
      <c r="E35" s="7" t="s">
        <v>74</v>
      </c>
      <c r="F35" s="50"/>
    </row>
    <row r="36" spans="1:6" ht="30" customHeight="1" x14ac:dyDescent="0.2">
      <c r="A36" s="14"/>
      <c r="B36" s="7" t="s">
        <v>64</v>
      </c>
      <c r="C36" s="9"/>
      <c r="D36" s="9"/>
      <c r="E36" s="16" t="s">
        <v>75</v>
      </c>
      <c r="F36" s="50"/>
    </row>
    <row r="37" spans="1:6" ht="32" customHeight="1" x14ac:dyDescent="0.2">
      <c r="A37" s="14"/>
      <c r="B37" s="7" t="s">
        <v>65</v>
      </c>
      <c r="C37" s="9"/>
      <c r="D37" s="9"/>
      <c r="E37" s="9"/>
      <c r="F37" s="50"/>
    </row>
    <row r="38" spans="1:6" ht="13" customHeight="1" thickBot="1" x14ac:dyDescent="0.25">
      <c r="A38" s="15"/>
      <c r="B38" s="8" t="s">
        <v>66</v>
      </c>
      <c r="C38" s="10"/>
      <c r="D38" s="10"/>
      <c r="E38" s="10"/>
      <c r="F38" s="51"/>
    </row>
    <row r="39" spans="1:6" ht="37.5" customHeight="1" x14ac:dyDescent="0.2">
      <c r="A39" s="40" t="s">
        <v>76</v>
      </c>
      <c r="B39" s="7" t="s">
        <v>77</v>
      </c>
      <c r="C39" s="7" t="s">
        <v>82</v>
      </c>
      <c r="D39" s="7" t="s">
        <v>84</v>
      </c>
      <c r="E39" s="7" t="s">
        <v>72</v>
      </c>
      <c r="F39" s="49"/>
    </row>
    <row r="40" spans="1:6" ht="25" customHeight="1" x14ac:dyDescent="0.2">
      <c r="A40" s="41"/>
      <c r="B40" s="7" t="s">
        <v>78</v>
      </c>
      <c r="C40" s="7" t="s">
        <v>83</v>
      </c>
      <c r="D40" s="7" t="s">
        <v>85</v>
      </c>
      <c r="E40" s="7" t="s">
        <v>87</v>
      </c>
      <c r="F40" s="50"/>
    </row>
    <row r="41" spans="1:6" ht="37.5" customHeight="1" x14ac:dyDescent="0.2">
      <c r="A41" s="41"/>
      <c r="B41" s="7" t="s">
        <v>79</v>
      </c>
      <c r="C41" s="9"/>
      <c r="D41" s="7" t="s">
        <v>86</v>
      </c>
      <c r="E41" s="7" t="s">
        <v>88</v>
      </c>
      <c r="F41" s="50"/>
    </row>
    <row r="42" spans="1:6" ht="25" customHeight="1" x14ac:dyDescent="0.2">
      <c r="A42" s="41"/>
      <c r="B42" s="7" t="s">
        <v>80</v>
      </c>
      <c r="C42" s="9"/>
      <c r="D42" s="9"/>
      <c r="E42" s="16" t="s">
        <v>89</v>
      </c>
      <c r="F42" s="50"/>
    </row>
    <row r="43" spans="1:6" ht="25" customHeight="1" thickBot="1" x14ac:dyDescent="0.25">
      <c r="A43" s="42"/>
      <c r="B43" s="8" t="s">
        <v>81</v>
      </c>
      <c r="C43" s="10"/>
      <c r="D43" s="10"/>
      <c r="E43" s="10"/>
      <c r="F43" s="51"/>
    </row>
    <row r="44" spans="1:6" x14ac:dyDescent="0.2">
      <c r="A44" s="52" t="s">
        <v>10</v>
      </c>
      <c r="B44" s="54"/>
      <c r="C44" s="54"/>
      <c r="D44" s="54"/>
      <c r="E44" s="54"/>
      <c r="F44" s="46"/>
    </row>
    <row r="45" spans="1:6" x14ac:dyDescent="0.2">
      <c r="A45" s="53"/>
      <c r="B45" s="55"/>
      <c r="C45" s="55"/>
      <c r="D45" s="55"/>
      <c r="E45" s="55"/>
      <c r="F45" s="47"/>
    </row>
    <row r="46" spans="1:6" x14ac:dyDescent="0.2">
      <c r="A46" s="53"/>
      <c r="B46" s="55"/>
      <c r="C46" s="55"/>
      <c r="D46" s="55"/>
      <c r="E46" s="55"/>
      <c r="F46" s="47"/>
    </row>
    <row r="47" spans="1:6" x14ac:dyDescent="0.2">
      <c r="A47" s="53"/>
      <c r="B47" s="55"/>
      <c r="C47" s="55"/>
      <c r="D47" s="55"/>
      <c r="E47" s="55"/>
      <c r="F47" s="47"/>
    </row>
    <row r="48" spans="1:6" ht="16" thickBot="1" x14ac:dyDescent="0.25">
      <c r="A48" s="53"/>
      <c r="B48" s="55"/>
      <c r="C48" s="55"/>
      <c r="D48" s="55"/>
      <c r="E48" s="55"/>
      <c r="F48" s="48"/>
    </row>
    <row r="49" spans="1:5" ht="18" thickTop="1" x14ac:dyDescent="0.2">
      <c r="A49" s="19" t="s">
        <v>90</v>
      </c>
      <c r="B49" s="20">
        <v>19</v>
      </c>
      <c r="C49" s="21">
        <v>8</v>
      </c>
      <c r="D49" s="21">
        <v>28</v>
      </c>
      <c r="E49" s="22">
        <v>24</v>
      </c>
    </row>
    <row r="50" spans="1:5" ht="17" x14ac:dyDescent="0.2">
      <c r="A50" s="23"/>
      <c r="B50" s="24" t="s">
        <v>91</v>
      </c>
      <c r="C50" s="24" t="s">
        <v>92</v>
      </c>
      <c r="D50" s="24" t="s">
        <v>93</v>
      </c>
      <c r="E50" s="25" t="s">
        <v>94</v>
      </c>
    </row>
    <row r="51" spans="1:5" ht="16" thickBot="1" x14ac:dyDescent="0.25">
      <c r="A51" s="26" t="s">
        <v>100</v>
      </c>
      <c r="B51" s="27">
        <f>B49/25</f>
        <v>0.76</v>
      </c>
      <c r="C51" s="27">
        <f>C49/10</f>
        <v>0.8</v>
      </c>
      <c r="D51" s="27">
        <f>D49/35</f>
        <v>0.8</v>
      </c>
      <c r="E51" s="28">
        <f>E49/30</f>
        <v>0.8</v>
      </c>
    </row>
    <row r="52" spans="1:5" ht="16" thickTop="1" x14ac:dyDescent="0.2"/>
    <row r="54" spans="1:5" ht="16" x14ac:dyDescent="0.2">
      <c r="A54" s="17" t="s">
        <v>95</v>
      </c>
      <c r="B54">
        <f>SUM(B49:E49)</f>
        <v>79</v>
      </c>
    </row>
    <row r="55" spans="1:5" ht="17" thickBot="1" x14ac:dyDescent="0.25">
      <c r="A55" s="18"/>
    </row>
    <row r="56" spans="1:5" ht="14.5" customHeight="1" thickTop="1" x14ac:dyDescent="0.2">
      <c r="A56" s="29" t="s">
        <v>96</v>
      </c>
      <c r="B56" s="30"/>
      <c r="C56" s="30"/>
      <c r="D56" s="31"/>
    </row>
    <row r="57" spans="1:5" ht="14.5" customHeight="1" x14ac:dyDescent="0.2">
      <c r="A57" s="32"/>
      <c r="B57" s="33"/>
      <c r="C57" s="33"/>
      <c r="D57" s="34"/>
    </row>
    <row r="58" spans="1:5" ht="14.5" customHeight="1" x14ac:dyDescent="0.2">
      <c r="A58" s="32"/>
      <c r="B58" s="33"/>
      <c r="C58" s="33"/>
      <c r="D58" s="34"/>
    </row>
    <row r="59" spans="1:5" ht="14.5" customHeight="1" x14ac:dyDescent="0.2">
      <c r="A59" s="32"/>
      <c r="B59" s="33"/>
      <c r="C59" s="33"/>
      <c r="D59" s="34"/>
    </row>
    <row r="60" spans="1:5" ht="14.5" customHeight="1" x14ac:dyDescent="0.2">
      <c r="A60" s="32"/>
      <c r="B60" s="33"/>
      <c r="C60" s="33"/>
      <c r="D60" s="34"/>
    </row>
    <row r="61" spans="1:5" ht="14.5" customHeight="1" x14ac:dyDescent="0.2">
      <c r="A61" s="32"/>
      <c r="B61" s="33"/>
      <c r="C61" s="33"/>
      <c r="D61" s="34"/>
    </row>
    <row r="62" spans="1:5" ht="14.5" customHeight="1" x14ac:dyDescent="0.2">
      <c r="A62" s="32"/>
      <c r="B62" s="33"/>
      <c r="C62" s="33"/>
      <c r="D62" s="34"/>
    </row>
    <row r="63" spans="1:5" ht="14.5" customHeight="1" thickBot="1" x14ac:dyDescent="0.25">
      <c r="A63" s="35"/>
      <c r="B63" s="36"/>
      <c r="C63" s="36"/>
      <c r="D63" s="37"/>
    </row>
    <row r="64" spans="1:5" ht="16" thickTop="1" x14ac:dyDescent="0.2"/>
  </sheetData>
  <mergeCells count="18">
    <mergeCell ref="D44:D48"/>
    <mergeCell ref="E44:E48"/>
    <mergeCell ref="A56:D63"/>
    <mergeCell ref="A4:A5"/>
    <mergeCell ref="F4:F5"/>
    <mergeCell ref="A6:A12"/>
    <mergeCell ref="F6:F12"/>
    <mergeCell ref="A13:A19"/>
    <mergeCell ref="F13:F19"/>
    <mergeCell ref="F44:F48"/>
    <mergeCell ref="F20:F26"/>
    <mergeCell ref="F27:F32"/>
    <mergeCell ref="F33:F38"/>
    <mergeCell ref="A39:A43"/>
    <mergeCell ref="F39:F43"/>
    <mergeCell ref="A44:A48"/>
    <mergeCell ref="B44:B48"/>
    <mergeCell ref="C44:C48"/>
  </mergeCells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Souslov</dc:creator>
  <cp:lastModifiedBy>David Tsang</cp:lastModifiedBy>
  <dcterms:created xsi:type="dcterms:W3CDTF">2021-05-23T14:55:03Z</dcterms:created>
  <dcterms:modified xsi:type="dcterms:W3CDTF">2025-05-28T09:27:08Z</dcterms:modified>
</cp:coreProperties>
</file>